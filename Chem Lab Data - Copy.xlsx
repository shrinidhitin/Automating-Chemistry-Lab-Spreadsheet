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ECC0E292-1370-4AAA-99A7-F4A1CE59AE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Q7" i="1"/>
  <c r="M17" i="1"/>
  <c r="Q11" i="1"/>
  <c r="P11" i="1"/>
  <c r="K16" i="1"/>
  <c r="R11" i="1"/>
  <c r="R7" i="1"/>
  <c r="S7" i="1" l="1"/>
  <c r="M16" i="1"/>
  <c r="K17" i="1"/>
  <c r="T11" i="1" l="1"/>
  <c r="U11" i="1"/>
  <c r="S11" i="1"/>
  <c r="T7" i="1"/>
  <c r="U7" i="1"/>
  <c r="V7" i="1" s="1"/>
  <c r="Y12" i="1" s="1"/>
  <c r="V11" i="1" l="1"/>
  <c r="W7" i="1"/>
  <c r="Y7" i="1" s="1"/>
  <c r="X7" i="1" s="1"/>
</calcChain>
</file>

<file path=xl/sharedStrings.xml><?xml version="1.0" encoding="utf-8"?>
<sst xmlns="http://schemas.openxmlformats.org/spreadsheetml/2006/main" count="46" uniqueCount="36">
  <si>
    <t>Table 1: Quantitative Data of mass of copper deposited at cathode over 5 different time intervals during copper electrolysis over a constant current</t>
  </si>
  <si>
    <t>Time t (s) ±1s</t>
  </si>
  <si>
    <t>Current (A) ±0.05A</t>
  </si>
  <si>
    <t>Mass of nickel strip (g) ±0.001g</t>
  </si>
  <si>
    <t>Trial 1</t>
  </si>
  <si>
    <t>Trial 2</t>
  </si>
  <si>
    <t>Trial 3</t>
  </si>
  <si>
    <t>Table : Linear Regression Analysis of mass of copper deposited at cathode over 5 different time intervals during copper electrolysis</t>
  </si>
  <si>
    <t>Initial</t>
  </si>
  <si>
    <t>Final</t>
  </si>
  <si>
    <t>sum</t>
  </si>
  <si>
    <t>m (slope)</t>
  </si>
  <si>
    <t>b (constant)</t>
  </si>
  <si>
    <t>Errors  δ</t>
  </si>
  <si>
    <t>x</t>
  </si>
  <si>
    <t>x^2</t>
  </si>
  <si>
    <t>(sum x)^2</t>
  </si>
  <si>
    <t>y</t>
  </si>
  <si>
    <t>y^2</t>
  </si>
  <si>
    <t>xy</t>
  </si>
  <si>
    <t>m</t>
  </si>
  <si>
    <t>b</t>
  </si>
  <si>
    <t>Equation</t>
  </si>
  <si>
    <t>y= (0. ± 0.)x + (0. ± 0.) g/s</t>
  </si>
  <si>
    <t>max fit</t>
  </si>
  <si>
    <t>Table 2: Processed data of copper deposited at cathode over 5 different time intervals during copper electrolysis over a constant current</t>
  </si>
  <si>
    <t>Mass plated m (g) ±0.002g</t>
  </si>
  <si>
    <t>Average Mass plated (g) ±0.06g</t>
  </si>
  <si>
    <t>min fit</t>
  </si>
  <si>
    <t>theoretical</t>
  </si>
  <si>
    <t>Time t (s) ±1.0s</t>
  </si>
  <si>
    <t xml:space="preserve">Theoretical Mass plated m (g) </t>
  </si>
  <si>
    <t xml:space="preserve">Uncertaintly of Theoretical Mass plated m (g) </t>
  </si>
  <si>
    <t>Average Experimental Mass plated (g) ±0.02g</t>
  </si>
  <si>
    <t>Percentage Uncertainty of Mass plated (%)</t>
  </si>
  <si>
    <t>Percentage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</si>
</sst>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0.00000E+00"/>
    <numFmt numFmtId="168" formatCode="0.000000"/>
  </numFmts>
  <fonts count="7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2" fillId="2" borderId="1" xfId="0" applyFont="1" applyFill="1" applyBorder="1"/>
    <xf numFmtId="0" fontId="2" fillId="2" borderId="18" xfId="0" applyFont="1" applyFill="1" applyBorder="1" applyAlignment="1">
      <alignment horizontal="center"/>
    </xf>
    <xf numFmtId="0" fontId="2" fillId="0" borderId="22" xfId="0" applyFont="1" applyBorder="1"/>
    <xf numFmtId="0" fontId="2" fillId="0" borderId="0" xfId="0" applyFont="1"/>
    <xf numFmtId="165" fontId="4" fillId="0" borderId="8" xfId="0" applyNumberFormat="1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 wrapText="1"/>
    </xf>
    <xf numFmtId="2" fontId="0" fillId="0" borderId="0" xfId="0" applyNumberFormat="1"/>
    <xf numFmtId="165" fontId="0" fillId="0" borderId="20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7" fontId="0" fillId="0" borderId="0" xfId="0" applyNumberFormat="1"/>
    <xf numFmtId="164" fontId="0" fillId="0" borderId="19" xfId="0" applyNumberFormat="1" applyBorder="1" applyAlignment="1">
      <alignment horizontal="center"/>
    </xf>
    <xf numFmtId="2" fontId="0" fillId="0" borderId="1" xfId="0" applyNumberFormat="1" applyBorder="1"/>
    <xf numFmtId="168" fontId="4" fillId="0" borderId="8" xfId="0" applyNumberFormat="1" applyFont="1" applyBorder="1" applyAlignment="1">
      <alignment horizontal="center"/>
    </xf>
    <xf numFmtId="0" fontId="0" fillId="2" borderId="21" xfId="0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1" fontId="0" fillId="0" borderId="1" xfId="0" applyNumberFormat="1" applyBorder="1"/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5" fillId="2" borderId="21" xfId="0" applyFont="1" applyFill="1" applyBorder="1" applyAlignment="1">
      <alignment horizontal="center" wrapText="1"/>
    </xf>
    <xf numFmtId="0" fontId="5" fillId="2" borderId="17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Mass Deposited over Time on a Nickel Cathode in Electrolysis Reaction Between Copper and Nickel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{"Min fit line"}</c:f>
              <c:strCache>
                <c:ptCount val="1"/>
                <c:pt idx="0">
                  <c:v>Min fit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BFBFBF"/>
                </a:solidFill>
                <a:prstDash val="sysDot"/>
              </a:ln>
              <a:effectLst/>
            </c:spPr>
            <c:trendlineType val="linear"/>
            <c:forward val="200"/>
            <c:backward val="219"/>
            <c:dispRSqr val="0"/>
            <c:dispEq val="0"/>
          </c:trendline>
          <c:xVal>
            <c:numRef>
              <c:f>Sheet1!J16:J17</c:f>
              <c:numCache>
                <c:formatCode>0.00</c:formatCode>
                <c:ptCount val="2"/>
                <c:pt idx="0">
                  <c:v>239</c:v>
                </c:pt>
                <c:pt idx="1">
                  <c:v>481</c:v>
                </c:pt>
              </c:numCache>
            </c:numRef>
          </c:xVal>
          <c:yVal>
            <c:numRef>
              <c:f>Sheet1!K16:K17</c:f>
              <c:numCache>
                <c:formatCode>0.00</c:formatCode>
                <c:ptCount val="2"/>
                <c:pt idx="0">
                  <c:v>2E-3</c:v>
                </c:pt>
                <c:pt idx="1">
                  <c:v>-2E-3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E9-4132-A297-0C7309035A58}"/>
            </c:ext>
          </c:extLst>
        </c:ser>
        <c:ser>
          <c:idx val="2"/>
          <c:order val="1"/>
          <c:tx>
            <c:strRef>
              <c:f>{"Max fit line"}</c:f>
              <c:strCache>
                <c:ptCount val="1"/>
                <c:pt idx="0">
                  <c:v>Max fit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808080"/>
                </a:solidFill>
                <a:prstDash val="sysDot"/>
              </a:ln>
              <a:effectLst/>
            </c:spPr>
            <c:trendlineType val="linear"/>
            <c:forward val="200"/>
            <c:backward val="200"/>
            <c:dispRSqr val="0"/>
            <c:dispEq val="0"/>
          </c:trendline>
          <c:xVal>
            <c:numRef>
              <c:f>Sheet1!L16:L17</c:f>
              <c:numCache>
                <c:formatCode>0.00</c:formatCode>
                <c:ptCount val="2"/>
                <c:pt idx="0">
                  <c:v>241</c:v>
                </c:pt>
                <c:pt idx="1">
                  <c:v>479</c:v>
                </c:pt>
              </c:numCache>
            </c:numRef>
          </c:xVal>
          <c:yVal>
            <c:numRef>
              <c:f>Sheet1!M16:M17</c:f>
              <c:numCache>
                <c:formatCode>0.00</c:formatCode>
                <c:ptCount val="2"/>
                <c:pt idx="0">
                  <c:v>-2E-3</c:v>
                </c:pt>
                <c:pt idx="1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E9-4132-A297-0C7309035A58}"/>
            </c:ext>
          </c:extLst>
        </c:ser>
        <c:ser>
          <c:idx val="0"/>
          <c:order val="2"/>
          <c:tx>
            <c:v>Experimental Values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240"/>
            <c:dispRSqr val="1"/>
            <c:dispEq val="1"/>
            <c:trendlineLbl>
              <c:layout>
                <c:manualLayout>
                  <c:x val="-0.14824188809068189"/>
                  <c:y val="2.102231821454257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2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Sheet1!$D$16:$D$20</c:f>
              <c:numCache>
                <c:formatCode>0</c:formatCode>
                <c:ptCount val="5"/>
                <c:pt idx="0">
                  <c:v>240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  <c:pt idx="4">
                  <c:v>480</c:v>
                </c:pt>
              </c:numCache>
            </c:numRef>
          </c:xVal>
          <c:yVal>
            <c:numRef>
              <c:f>Sheet1!$H$16:$H$20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F9-4039-B310-E7A61B14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976456"/>
        <c:axId val="887978504"/>
      </c:scatterChart>
      <c:valAx>
        <c:axId val="887976456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78504"/>
        <c:crosses val="autoZero"/>
        <c:crossBetween val="midCat"/>
      </c:valAx>
      <c:valAx>
        <c:axId val="887978504"/>
        <c:scaling>
          <c:orientation val="minMax"/>
          <c:max val="0.0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mass gain of nickel cathode (g)</a:t>
                </a:r>
              </a:p>
            </c:rich>
          </c:tx>
          <c:layout>
            <c:manualLayout>
              <c:xMode val="edge"/>
              <c:yMode val="edge"/>
              <c:x val="2.4639214409722221E-2"/>
              <c:y val="0.21913975430597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76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Experimental Mass Deposited and Theoretical Mass Deposited over Time on a Nickel Cathode in Electrolysis Reaction Between Copper and Nickel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{"Max fit line"}</c:f>
              <c:strCache>
                <c:ptCount val="1"/>
                <c:pt idx="0">
                  <c:v>Max fit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57171"/>
                </a:solidFill>
                <a:prstDash val="sysDot"/>
              </a:ln>
              <a:effectLst/>
            </c:spPr>
            <c:trendlineType val="linear"/>
            <c:forward val="200"/>
            <c:backward val="200"/>
            <c:dispRSqr val="0"/>
            <c:dispEq val="0"/>
          </c:trendline>
          <c:xVal>
            <c:numRef>
              <c:f>Sheet1!L16:L17</c:f>
              <c:numCache>
                <c:formatCode>0.00</c:formatCode>
                <c:ptCount val="2"/>
                <c:pt idx="0">
                  <c:v>241</c:v>
                </c:pt>
                <c:pt idx="1">
                  <c:v>479</c:v>
                </c:pt>
              </c:numCache>
            </c:numRef>
          </c:xVal>
          <c:yVal>
            <c:numRef>
              <c:f>Sheet1!M16:M17</c:f>
              <c:numCache>
                <c:formatCode>0.00</c:formatCode>
                <c:ptCount val="2"/>
                <c:pt idx="0">
                  <c:v>-2E-3</c:v>
                </c:pt>
                <c:pt idx="1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F1-45A0-91D9-1326ACB825C3}"/>
            </c:ext>
          </c:extLst>
        </c:ser>
        <c:ser>
          <c:idx val="1"/>
          <c:order val="1"/>
          <c:tx>
            <c:strRef>
              <c:f>{"Min fit line"}</c:f>
              <c:strCache>
                <c:ptCount val="1"/>
                <c:pt idx="0">
                  <c:v>Min fit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AEAAAA"/>
                </a:solidFill>
                <a:prstDash val="sysDot"/>
              </a:ln>
              <a:effectLst/>
            </c:spPr>
            <c:trendlineType val="linear"/>
            <c:forward val="100"/>
            <c:backward val="240"/>
            <c:dispRSqr val="0"/>
            <c:dispEq val="0"/>
          </c:trendline>
          <c:xVal>
            <c:numRef>
              <c:f>Sheet1!J16:J17</c:f>
              <c:numCache>
                <c:formatCode>0.00</c:formatCode>
                <c:ptCount val="2"/>
                <c:pt idx="0">
                  <c:v>239</c:v>
                </c:pt>
                <c:pt idx="1">
                  <c:v>481</c:v>
                </c:pt>
              </c:numCache>
            </c:numRef>
          </c:xVal>
          <c:yVal>
            <c:numRef>
              <c:f>Sheet1!K16:K17</c:f>
              <c:numCache>
                <c:formatCode>0.00</c:formatCode>
                <c:ptCount val="2"/>
                <c:pt idx="0">
                  <c:v>2E-3</c:v>
                </c:pt>
                <c:pt idx="1">
                  <c:v>-2E-3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F1-45A0-91D9-1326ACB825C3}"/>
            </c:ext>
          </c:extLst>
        </c:ser>
        <c:ser>
          <c:idx val="0"/>
          <c:order val="2"/>
          <c:tx>
            <c:v>Experimental Values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24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2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Sheet1!$D$16:$D$20</c:f>
              <c:numCache>
                <c:formatCode>0</c:formatCode>
                <c:ptCount val="5"/>
                <c:pt idx="0">
                  <c:v>240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  <c:pt idx="4">
                  <c:v>480</c:v>
                </c:pt>
              </c:numCache>
            </c:numRef>
          </c:xVal>
          <c:yVal>
            <c:numRef>
              <c:f>Sheet1!$H$16:$H$20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1-45A0-91D9-1326ACB825C3}"/>
            </c:ext>
          </c:extLst>
        </c:ser>
        <c:ser>
          <c:idx val="3"/>
          <c:order val="3"/>
          <c:tx>
            <c:strRef>
              <c:f>{"Theoretical Values"}</c:f>
              <c:strCache>
                <c:ptCount val="1"/>
                <c:pt idx="0">
                  <c:v>Theoretical Values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230"/>
            <c:dispRSqr val="0"/>
            <c:dispEq val="0"/>
          </c:trendline>
          <c:xVal>
            <c:numRef>
              <c:f>Sheet1!D25:D29</c:f>
              <c:numCache>
                <c:formatCode>0.0</c:formatCode>
                <c:ptCount val="5"/>
                <c:pt idx="0">
                  <c:v>240</c:v>
                </c:pt>
                <c:pt idx="1">
                  <c:v>300</c:v>
                </c:pt>
                <c:pt idx="2">
                  <c:v>360</c:v>
                </c:pt>
                <c:pt idx="3">
                  <c:v>420</c:v>
                </c:pt>
                <c:pt idx="4">
                  <c:v>480</c:v>
                </c:pt>
              </c:numCache>
            </c:numRef>
          </c:xVal>
          <c:yVal>
            <c:numRef>
              <c:f>Sheet1!E25:E29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F1-45A0-91D9-1326ACB82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976456"/>
        <c:axId val="887978504"/>
      </c:scatterChart>
      <c:valAx>
        <c:axId val="887976456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78504"/>
        <c:crosses val="autoZero"/>
        <c:crossBetween val="midCat"/>
      </c:valAx>
      <c:valAx>
        <c:axId val="887978504"/>
        <c:scaling>
          <c:orientation val="minMax"/>
          <c:max val="0.0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gain of nickel cathode (g)</a:t>
                </a:r>
              </a:p>
            </c:rich>
          </c:tx>
          <c:layout>
            <c:manualLayout>
              <c:xMode val="edge"/>
              <c:yMode val="edge"/>
              <c:x val="1.2547034630506843E-2"/>
              <c:y val="0.24002301805238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76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35</xdr:row>
      <xdr:rowOff>38100</xdr:rowOff>
    </xdr:from>
    <xdr:to>
      <xdr:col>17</xdr:col>
      <xdr:colOff>180975</xdr:colOff>
      <xdr:row>58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56955-1255-69A9-BD14-9DAAD466E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381000</xdr:colOff>
      <xdr:row>18</xdr:row>
      <xdr:rowOff>123825</xdr:rowOff>
    </xdr:from>
    <xdr:to>
      <xdr:col>26</xdr:col>
      <xdr:colOff>238125</xdr:colOff>
      <xdr:row>27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3FE67-9038-4283-92D8-7C3B65912086}"/>
            </a:ext>
            <a:ext uri="{147F2762-F138-4A5C-976F-8EAC2B608ADB}">
              <a16:predDERef xmlns:a16="http://schemas.microsoft.com/office/drawing/2014/main" pred="{16256955-1255-69A9-BD14-9DAAD466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2100" y="4324350"/>
          <a:ext cx="4572000" cy="2647950"/>
        </a:xfrm>
        <a:prstGeom prst="rect">
          <a:avLst/>
        </a:prstGeom>
      </xdr:spPr>
    </xdr:pic>
    <xdr:clientData/>
  </xdr:twoCellAnchor>
  <xdr:twoCellAnchor>
    <xdr:from>
      <xdr:col>18</xdr:col>
      <xdr:colOff>342900</xdr:colOff>
      <xdr:row>35</xdr:row>
      <xdr:rowOff>47625</xdr:rowOff>
    </xdr:from>
    <xdr:to>
      <xdr:col>25</xdr:col>
      <xdr:colOff>409575</xdr:colOff>
      <xdr:row>60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2C654A-CC36-481A-AFC2-F86AEC70A20C}"/>
            </a:ext>
            <a:ext uri="{147F2762-F138-4A5C-976F-8EAC2B608ADB}">
              <a16:predDERef xmlns:a16="http://schemas.microsoft.com/office/drawing/2014/main" pred="{AA73FE67-9038-4283-92D8-7C3B65912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0"/>
  <sheetViews>
    <sheetView tabSelected="1" workbookViewId="0">
      <selection activeCell="I12" sqref="I12"/>
    </sheetView>
  </sheetViews>
  <sheetFormatPr defaultRowHeight="15"/>
  <cols>
    <col min="1" max="1" width="10.85546875" customWidth="1"/>
    <col min="2" max="2" width="7.140625" customWidth="1"/>
    <col min="3" max="3" width="8.85546875" customWidth="1"/>
    <col min="4" max="4" width="11.28515625" customWidth="1"/>
    <col min="5" max="5" width="12.140625" customWidth="1"/>
    <col min="6" max="6" width="11.7109375" customWidth="1"/>
    <col min="7" max="7" width="12.42578125" customWidth="1"/>
    <col min="8" max="8" width="11" customWidth="1"/>
    <col min="9" max="9" width="10.7109375" customWidth="1"/>
    <col min="17" max="17" width="12.28515625" customWidth="1"/>
    <col min="18" max="18" width="10.7109375" customWidth="1"/>
    <col min="22" max="22" width="15.85546875" customWidth="1"/>
  </cols>
  <sheetData>
    <row r="1" spans="2:25">
      <c r="B1" s="45" t="s">
        <v>0</v>
      </c>
      <c r="C1" s="45"/>
      <c r="D1" s="45"/>
      <c r="E1" s="45"/>
      <c r="F1" s="45"/>
      <c r="G1" s="45"/>
      <c r="H1" s="45"/>
      <c r="I1" s="45"/>
    </row>
    <row r="2" spans="2:25">
      <c r="B2" s="49"/>
      <c r="C2" s="49"/>
      <c r="D2" s="45"/>
      <c r="E2" s="45"/>
      <c r="F2" s="45"/>
      <c r="G2" s="45"/>
      <c r="H2" s="45"/>
      <c r="I2" s="45"/>
    </row>
    <row r="3" spans="2:25" ht="15" customHeight="1">
      <c r="B3" s="45" t="s">
        <v>1</v>
      </c>
      <c r="C3" s="46" t="s">
        <v>2</v>
      </c>
      <c r="D3" s="50" t="s">
        <v>3</v>
      </c>
      <c r="E3" s="51"/>
      <c r="F3" s="51"/>
      <c r="G3" s="51"/>
      <c r="H3" s="51"/>
      <c r="I3" s="51"/>
    </row>
    <row r="4" spans="2:25">
      <c r="B4" s="45"/>
      <c r="C4" s="47"/>
      <c r="D4" s="52" t="s">
        <v>4</v>
      </c>
      <c r="E4" s="51"/>
      <c r="F4" s="51" t="s">
        <v>5</v>
      </c>
      <c r="G4" s="51"/>
      <c r="H4" s="51" t="s">
        <v>6</v>
      </c>
      <c r="I4" s="51"/>
      <c r="O4" s="35" t="s">
        <v>7</v>
      </c>
      <c r="P4" s="36"/>
      <c r="Q4" s="36"/>
      <c r="R4" s="36"/>
      <c r="S4" s="36"/>
      <c r="T4" s="36"/>
      <c r="U4" s="36"/>
      <c r="V4" s="36"/>
      <c r="W4" s="36"/>
      <c r="X4" s="36"/>
      <c r="Y4" s="37"/>
    </row>
    <row r="5" spans="2:25">
      <c r="B5" s="45"/>
      <c r="C5" s="48"/>
      <c r="D5" s="10" t="s">
        <v>8</v>
      </c>
      <c r="E5" s="1" t="s">
        <v>9</v>
      </c>
      <c r="F5" s="1" t="s">
        <v>8</v>
      </c>
      <c r="G5" s="1" t="s">
        <v>9</v>
      </c>
      <c r="H5" s="1" t="s">
        <v>8</v>
      </c>
      <c r="I5" s="1" t="s">
        <v>9</v>
      </c>
      <c r="O5" s="2"/>
      <c r="P5" s="38" t="s">
        <v>10</v>
      </c>
      <c r="Q5" s="38"/>
      <c r="R5" s="38"/>
      <c r="S5" s="38"/>
      <c r="T5" s="38"/>
      <c r="U5" s="38"/>
      <c r="V5" s="39" t="s">
        <v>11</v>
      </c>
      <c r="W5" s="41" t="s">
        <v>12</v>
      </c>
      <c r="X5" s="43" t="s">
        <v>13</v>
      </c>
      <c r="Y5" s="44"/>
    </row>
    <row r="6" spans="2:25">
      <c r="B6" s="32">
        <v>240</v>
      </c>
      <c r="C6" s="27">
        <v>0.5</v>
      </c>
      <c r="D6" s="22">
        <v>1.0509999999999999</v>
      </c>
      <c r="E6" s="19">
        <v>1.0649999999999999</v>
      </c>
      <c r="F6" s="19">
        <v>1.0669999999999999</v>
      </c>
      <c r="G6" s="19">
        <v>1.087</v>
      </c>
      <c r="H6" s="19">
        <v>1.0609999999999999</v>
      </c>
      <c r="I6" s="19">
        <v>1.0820000000000001</v>
      </c>
      <c r="O6" s="2"/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40"/>
      <c r="W6" s="42"/>
      <c r="X6" s="3" t="s">
        <v>20</v>
      </c>
      <c r="Y6" s="4" t="s">
        <v>21</v>
      </c>
    </row>
    <row r="7" spans="2:25">
      <c r="B7" s="32">
        <v>300</v>
      </c>
      <c r="C7" s="27">
        <v>0.5</v>
      </c>
      <c r="D7" s="23">
        <v>1.0589999999999999</v>
      </c>
      <c r="E7" s="24">
        <v>1.081</v>
      </c>
      <c r="F7" s="24">
        <v>1.0429999999999999</v>
      </c>
      <c r="G7" s="24">
        <v>1.0580000000000001</v>
      </c>
      <c r="H7" s="24">
        <v>1.0489999999999999</v>
      </c>
      <c r="I7" s="24">
        <v>1.081</v>
      </c>
      <c r="O7" s="2"/>
      <c r="P7" s="5">
        <f>SUM(D16:D20)</f>
        <v>1800</v>
      </c>
      <c r="Q7" s="5">
        <f>(D16^2+D17^2+D18^2+D19^2+D20^2)</f>
        <v>684000</v>
      </c>
      <c r="R7" s="15">
        <f>P7^2</f>
        <v>3240000</v>
      </c>
      <c r="S7" s="5">
        <f>SUM(H16:H20)</f>
        <v>0</v>
      </c>
      <c r="T7" s="13">
        <f>(H16^2+H17^2+H18^2+H20^2+H19^2)</f>
        <v>0</v>
      </c>
      <c r="U7" s="5">
        <f>D16*H16+D17*H17+D18*H18+D19*H19+D20*H20</f>
        <v>0</v>
      </c>
      <c r="V7" s="28">
        <f>(U7-(1/5)*P7*S7)/(Q7-(1/5)*R7)</f>
        <v>0</v>
      </c>
      <c r="W7" s="5">
        <f>(1/5)*(S7-V7*P7)</f>
        <v>0</v>
      </c>
      <c r="X7" s="14">
        <f>Y7/SQRT(Q7-(1/5)*R7)</f>
        <v>0</v>
      </c>
      <c r="Y7" s="16">
        <f>SQRT((T7-W7*S7-V7*U7)/3)</f>
        <v>0</v>
      </c>
    </row>
    <row r="8" spans="2:25">
      <c r="B8" s="32">
        <v>360</v>
      </c>
      <c r="C8" s="27">
        <v>0.5</v>
      </c>
      <c r="D8" s="22">
        <v>1.0589999999999999</v>
      </c>
      <c r="E8" s="19">
        <v>1.0940000000000001</v>
      </c>
      <c r="F8" s="19">
        <v>1.0429999999999999</v>
      </c>
      <c r="G8" s="19">
        <v>1.081</v>
      </c>
      <c r="H8" s="19">
        <v>1.06</v>
      </c>
      <c r="I8" s="19">
        <v>1.0840000000000001</v>
      </c>
      <c r="O8" s="6" t="s">
        <v>22</v>
      </c>
      <c r="P8" s="33" t="s">
        <v>23</v>
      </c>
      <c r="Q8" s="33"/>
      <c r="R8" s="33"/>
      <c r="S8" s="33"/>
      <c r="T8" s="33"/>
      <c r="U8" s="33"/>
      <c r="V8" s="33"/>
      <c r="W8" s="33"/>
      <c r="X8" s="33"/>
      <c r="Y8" s="34"/>
    </row>
    <row r="9" spans="2:25">
      <c r="B9" s="32">
        <v>420</v>
      </c>
      <c r="C9" s="27">
        <v>0.5</v>
      </c>
      <c r="D9" s="22">
        <v>1.0289999999999999</v>
      </c>
      <c r="E9" s="19">
        <v>1.081</v>
      </c>
      <c r="F9" s="19">
        <v>1.0740000000000001</v>
      </c>
      <c r="G9" s="19">
        <v>1.1020000000000001</v>
      </c>
      <c r="H9" s="19">
        <v>1.0660000000000001</v>
      </c>
      <c r="I9" s="19">
        <v>1.0960000000000001</v>
      </c>
    </row>
    <row r="10" spans="2:25">
      <c r="B10" s="32">
        <v>480</v>
      </c>
      <c r="C10" s="27">
        <v>0.5</v>
      </c>
      <c r="D10" s="22">
        <v>1.0409999999999999</v>
      </c>
      <c r="E10" s="19">
        <v>1.093</v>
      </c>
      <c r="F10" s="19">
        <v>1.048</v>
      </c>
      <c r="G10" s="19">
        <v>1.0920000000000001</v>
      </c>
      <c r="H10" s="19">
        <v>1.052</v>
      </c>
      <c r="I10" s="19">
        <v>1.0900000000000001</v>
      </c>
      <c r="O10" t="s">
        <v>24</v>
      </c>
    </row>
    <row r="11" spans="2:25">
      <c r="P11" s="21">
        <f>SUM(L16:L17)</f>
        <v>720</v>
      </c>
      <c r="Q11" s="21">
        <f>L16^2+L17^2</f>
        <v>287522</v>
      </c>
      <c r="R11" s="21">
        <f>P11^2</f>
        <v>518400</v>
      </c>
      <c r="S11" s="21">
        <f>SUM(M16:M17)</f>
        <v>0</v>
      </c>
      <c r="T11" s="21">
        <f>M16^2+M17^2</f>
        <v>7.9999999999999996E-6</v>
      </c>
      <c r="U11">
        <f>L16*M16+L17*M17</f>
        <v>0.47600000000000009</v>
      </c>
      <c r="V11" s="25">
        <f>(U11-(1/2)*P11*S11)/(Q11-(1/2)*R11)</f>
        <v>1.6806722689075634E-5</v>
      </c>
    </row>
    <row r="12" spans="2:25">
      <c r="Y12">
        <f>V7/0.00017</f>
        <v>0</v>
      </c>
    </row>
    <row r="13" spans="2:25" ht="48.75" customHeight="1">
      <c r="D13" s="45" t="s">
        <v>25</v>
      </c>
      <c r="E13" s="45"/>
      <c r="F13" s="45"/>
      <c r="G13" s="45"/>
      <c r="H13" s="45"/>
      <c r="I13" s="11"/>
      <c r="J13" s="12"/>
    </row>
    <row r="14" spans="2:25" ht="24.75" customHeight="1">
      <c r="D14" s="55" t="s">
        <v>1</v>
      </c>
      <c r="E14" s="57" t="s">
        <v>26</v>
      </c>
      <c r="F14" s="57"/>
      <c r="G14" s="57"/>
      <c r="H14" s="58" t="s">
        <v>27</v>
      </c>
    </row>
    <row r="15" spans="2:25" ht="32.25" customHeight="1">
      <c r="D15" s="56"/>
      <c r="E15" s="9" t="s">
        <v>4</v>
      </c>
      <c r="F15" s="9" t="s">
        <v>5</v>
      </c>
      <c r="G15" s="9" t="s">
        <v>6</v>
      </c>
      <c r="H15" s="59"/>
      <c r="J15" s="54" t="s">
        <v>28</v>
      </c>
      <c r="K15" s="54"/>
      <c r="L15" s="54" t="s">
        <v>24</v>
      </c>
      <c r="M15" s="54"/>
    </row>
    <row r="16" spans="2:25">
      <c r="D16" s="32">
        <v>240</v>
      </c>
      <c r="E16" s="8"/>
      <c r="F16" s="8"/>
      <c r="G16" s="8"/>
      <c r="H16" s="8"/>
      <c r="J16" s="7">
        <v>239</v>
      </c>
      <c r="K16" s="7">
        <f>H16+0.002</f>
        <v>2E-3</v>
      </c>
      <c r="L16" s="7">
        <v>241</v>
      </c>
      <c r="M16" s="7">
        <f>H16-0.002</f>
        <v>-2E-3</v>
      </c>
    </row>
    <row r="17" spans="3:13">
      <c r="D17" s="32">
        <v>300</v>
      </c>
      <c r="E17" s="8"/>
      <c r="F17" s="8"/>
      <c r="G17" s="8"/>
      <c r="H17" s="8"/>
      <c r="J17" s="7">
        <v>481</v>
      </c>
      <c r="K17" s="7">
        <f>H20-0.002</f>
        <v>-2E-3</v>
      </c>
      <c r="L17" s="7">
        <v>479</v>
      </c>
      <c r="M17" s="7">
        <f>H20+0.002</f>
        <v>2E-3</v>
      </c>
    </row>
    <row r="18" spans="3:13">
      <c r="D18" s="32">
        <v>360</v>
      </c>
      <c r="E18" s="8"/>
      <c r="F18" s="8"/>
      <c r="G18" s="8"/>
      <c r="H18" s="8"/>
      <c r="J18" s="17"/>
      <c r="K18" s="17"/>
      <c r="L18" s="17"/>
      <c r="M18" s="17"/>
    </row>
    <row r="19" spans="3:13">
      <c r="D19" s="32">
        <v>420</v>
      </c>
      <c r="E19" s="8"/>
      <c r="F19" s="8"/>
      <c r="G19" s="8"/>
      <c r="H19" s="8"/>
      <c r="J19" s="17"/>
      <c r="K19" s="17"/>
      <c r="L19" s="17"/>
      <c r="M19" s="17"/>
    </row>
    <row r="20" spans="3:13">
      <c r="D20" s="32">
        <v>480</v>
      </c>
      <c r="E20" s="8"/>
      <c r="F20" s="8"/>
      <c r="G20" s="8"/>
      <c r="H20" s="8"/>
      <c r="J20" s="17"/>
      <c r="K20" s="17"/>
      <c r="L20" s="17"/>
      <c r="M20" s="17"/>
    </row>
    <row r="23" spans="3:13">
      <c r="C23" s="53" t="s">
        <v>29</v>
      </c>
      <c r="D23" s="53"/>
      <c r="E23" s="53"/>
      <c r="F23" s="53"/>
      <c r="G23" s="53"/>
      <c r="H23" s="53"/>
      <c r="I23" s="53"/>
    </row>
    <row r="24" spans="3:13" ht="86.25" customHeight="1">
      <c r="C24" s="29" t="s">
        <v>2</v>
      </c>
      <c r="D24" s="29" t="s">
        <v>30</v>
      </c>
      <c r="E24" s="29" t="s">
        <v>31</v>
      </c>
      <c r="F24" s="29" t="s">
        <v>32</v>
      </c>
      <c r="G24" s="30" t="s">
        <v>33</v>
      </c>
      <c r="H24" s="29" t="s">
        <v>34</v>
      </c>
      <c r="I24" s="31" t="s">
        <v>35</v>
      </c>
    </row>
    <row r="25" spans="3:13">
      <c r="C25" s="27">
        <v>0.5</v>
      </c>
      <c r="D25" s="18">
        <v>240</v>
      </c>
      <c r="E25" s="19"/>
      <c r="F25" s="19"/>
      <c r="G25" s="20"/>
      <c r="H25" s="7"/>
      <c r="I25" s="26"/>
    </row>
    <row r="26" spans="3:13">
      <c r="C26" s="27">
        <v>0.5</v>
      </c>
      <c r="D26" s="18">
        <v>300</v>
      </c>
      <c r="E26" s="19"/>
      <c r="F26" s="19"/>
      <c r="G26" s="20"/>
      <c r="H26" s="7"/>
      <c r="I26" s="26"/>
    </row>
    <row r="27" spans="3:13">
      <c r="C27" s="27">
        <v>0.5</v>
      </c>
      <c r="D27" s="18">
        <v>360</v>
      </c>
      <c r="E27" s="19"/>
      <c r="F27" s="19"/>
      <c r="G27" s="20"/>
      <c r="H27" s="7"/>
      <c r="I27" s="26"/>
    </row>
    <row r="28" spans="3:13">
      <c r="C28" s="27">
        <v>0.5</v>
      </c>
      <c r="D28" s="18">
        <v>420</v>
      </c>
      <c r="E28" s="19"/>
      <c r="F28" s="19"/>
      <c r="G28" s="20"/>
      <c r="H28" s="7"/>
      <c r="I28" s="26"/>
    </row>
    <row r="29" spans="3:13">
      <c r="C29" s="27">
        <v>0.5</v>
      </c>
      <c r="D29" s="18">
        <v>480</v>
      </c>
      <c r="E29" s="19"/>
      <c r="F29" s="19"/>
      <c r="G29" s="20"/>
      <c r="H29" s="7"/>
      <c r="I29" s="26"/>
    </row>
    <row r="30" spans="3:13">
      <c r="E30" s="17"/>
      <c r="H30" s="21"/>
      <c r="I30" s="21"/>
    </row>
  </sheetData>
  <mergeCells count="20">
    <mergeCell ref="C23:I23"/>
    <mergeCell ref="J15:K15"/>
    <mergeCell ref="L15:M15"/>
    <mergeCell ref="D14:D15"/>
    <mergeCell ref="E14:G14"/>
    <mergeCell ref="H14:H15"/>
    <mergeCell ref="D13:H13"/>
    <mergeCell ref="B3:B5"/>
    <mergeCell ref="C3:C5"/>
    <mergeCell ref="B1:I2"/>
    <mergeCell ref="D3:I3"/>
    <mergeCell ref="D4:E4"/>
    <mergeCell ref="F4:G4"/>
    <mergeCell ref="H4:I4"/>
    <mergeCell ref="P8:Y8"/>
    <mergeCell ref="O4:Y4"/>
    <mergeCell ref="P5:U5"/>
    <mergeCell ref="V5:V6"/>
    <mergeCell ref="W5:W6"/>
    <mergeCell ref="X5:Y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2026-01-27T23:48:08Z</dcterms:created>
  <dcterms:modified xsi:type="dcterms:W3CDTF">2026-06-17T19:37:21Z</dcterms:modified>
  <cp:category/>
  <cp:contentStatus/>
</cp:coreProperties>
</file>