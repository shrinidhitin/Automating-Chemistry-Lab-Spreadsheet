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200" windowHeight="1966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0000E+00"/>
    <numFmt numFmtId="167" formatCode="0.000000"/>
    <numFmt numFmtId="168" formatCode="0.00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0" borderId="1" pivotButton="0" quotePrefix="0" xfId="0"/>
    <xf numFmtId="0" fontId="2" fillId="2" borderId="8" applyAlignment="1" pivotButton="0" quotePrefix="0" xfId="0">
      <alignment horizontal="center"/>
    </xf>
    <xf numFmtId="0" fontId="2" fillId="0" borderId="12" pivotButton="0" quotePrefix="0" xfId="0"/>
    <xf numFmtId="0" fontId="2" fillId="0" borderId="0" pivotButton="0" quotePrefix="0" xfId="0"/>
    <xf numFmtId="2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0" borderId="13" applyAlignment="1" pivotButton="0" quotePrefix="0" xfId="0">
      <alignment horizontal="center" wrapText="1"/>
    </xf>
    <xf numFmtId="2" fontId="0" fillId="0" borderId="0" pivotButton="0" quotePrefix="0" xfId="0"/>
    <xf numFmtId="164" fontId="0" fillId="0" borderId="10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164" fontId="0" fillId="0" borderId="7" applyAlignment="1" pivotButton="0" quotePrefix="0" xfId="0">
      <alignment horizontal="center"/>
    </xf>
    <xf numFmtId="166" fontId="0" fillId="0" borderId="0" pivotButton="0" quotePrefix="0" xfId="0"/>
    <xf numFmtId="165" fontId="0" fillId="0" borderId="9" applyAlignment="1" pivotButton="0" quotePrefix="0" xfId="0">
      <alignment horizontal="center"/>
    </xf>
    <xf numFmtId="2" fontId="0" fillId="0" borderId="1" pivotButton="0" quotePrefix="0" xfId="0"/>
    <xf numFmtId="0" fontId="0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1" fontId="0" fillId="0" borderId="1" pivotButton="0" quotePrefix="0" xfId="0"/>
    <xf numFmtId="0" fontId="2" fillId="2" borderId="1" applyAlignment="1" pivotButton="0" quotePrefix="0" xfId="0">
      <alignment horizontal="center"/>
    </xf>
    <xf numFmtId="0" fontId="1" fillId="2" borderId="7" applyAlignment="1" pivotButton="0" quotePrefix="0" xfId="0">
      <alignment horizontal="center" wrapText="1"/>
    </xf>
    <xf numFmtId="0" fontId="0" fillId="5" borderId="3" pivotButton="0" quotePrefix="0" xfId="0"/>
    <xf numFmtId="0" fontId="5" fillId="2" borderId="11" applyAlignment="1" pivotButton="0" quotePrefix="0" xfId="0">
      <alignment horizontal="center" wrapText="1"/>
    </xf>
    <xf numFmtId="0" fontId="5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/>
    </xf>
    <xf numFmtId="0" fontId="1" fillId="2" borderId="14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2" fillId="2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2" fillId="2" borderId="11" applyAlignment="1" pivotButton="0" quotePrefix="0" xfId="0">
      <alignment horizontal="center" wrapText="1"/>
    </xf>
    <xf numFmtId="0" fontId="2" fillId="2" borderId="7" applyAlignment="1" pivotButton="0" quotePrefix="0" xfId="0">
      <alignment horizontal="center" wrapText="1"/>
    </xf>
    <xf numFmtId="0" fontId="1" fillId="2" borderId="1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4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5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0" borderId="0" pivotButton="0" quotePrefix="0" xfId="0"/>
    <xf numFmtId="167" fontId="4" fillId="0" borderId="3" applyAlignment="1" pivotButton="0" quotePrefix="0" xfId="0">
      <alignment horizontal="center"/>
    </xf>
    <xf numFmtId="2" fontId="4" fillId="0" borderId="3" applyAlignment="1" pivotButton="0" quotePrefix="0" xfId="0">
      <alignment horizontal="center"/>
    </xf>
    <xf numFmtId="168" fontId="4" fillId="0" borderId="3" applyAlignment="1" pivotButton="0" quotePrefix="0" xfId="0">
      <alignment horizontal="center"/>
    </xf>
    <xf numFmtId="164" fontId="4" fillId="0" borderId="3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4" fillId="2" borderId="1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3" fillId="3" borderId="15" applyAlignment="1" pivotButton="0" quotePrefix="0" xfId="0">
      <alignment horizontal="center"/>
    </xf>
    <xf numFmtId="0" fontId="3" fillId="3" borderId="17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4" fillId="4" borderId="15" applyAlignment="1" pivotButton="0" quotePrefix="0" xfId="0">
      <alignment horizontal="center"/>
    </xf>
    <xf numFmtId="0" fontId="4" fillId="4" borderId="17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0" fillId="0" borderId="21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9" pivotButton="0" quotePrefix="0" xfId="0"/>
    <xf numFmtId="0" fontId="1" fillId="2" borderId="1" applyAlignment="1" pivotButton="0" quotePrefix="0" xfId="0">
      <alignment horizontal="center" wrapText="1"/>
    </xf>
    <xf numFmtId="0" fontId="0" fillId="0" borderId="2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7" pivotButton="0" quotePrefix="0" xfId="0"/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164" fontId="0" fillId="0" borderId="1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6" pivotButton="0" quotePrefix="0" xfId="0"/>
    <xf numFmtId="164" fontId="0" fillId="0" borderId="9" applyAlignment="1" pivotButton="0" quotePrefix="0" xfId="0">
      <alignment horizontal="center"/>
    </xf>
    <xf numFmtId="164" fontId="0" fillId="0" borderId="7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68" fontId="4" fillId="0" borderId="3" applyAlignment="1" pivotButton="0" quotePrefix="0" xfId="0">
      <alignment horizontal="center"/>
    </xf>
    <xf numFmtId="164" fontId="4" fillId="0" borderId="3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166" fontId="0" fillId="0" borderId="0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164" fontId="0" fillId="0" borderId="13" applyAlignment="1" pivotButton="0" quotePrefix="0" xfId="0">
      <alignment horizontal="center" wrapText="1"/>
    </xf>
    <xf numFmtId="165" fontId="0" fillId="0" borderId="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Mass Deposited over Time on a Nickel Cathode in Electrolysis Reaction Between Copper and Nickel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{"Min fit line"}</f>
              <strCache>
                <ptCount val="1"/>
                <pt idx="0">
                  <v>Min fit line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rgbClr val="BFBFBF"/>
                </a:solidFill>
                <a:prstDash val="sysDot"/>
              </a:ln>
            </spPr>
            <trendlineType val="linear"/>
            <forward val="200"/>
            <backward val="219"/>
            <dispRSqr val="0"/>
            <dispEq val="0"/>
          </trendline>
          <xVal>
            <numRef>
              <f>Sheet1!$J$16:$J$17</f>
              <numCache>
                <formatCode>0.00</formatCode>
                <ptCount val="2"/>
              </numCache>
            </numRef>
          </xVal>
          <yVal>
            <numRef>
              <f>Sheet1!$K$16:$K$17</f>
              <numCache>
                <formatCode>0.00</formatCode>
                <ptCount val="2"/>
              </numCache>
            </numRef>
          </yVal>
          <smooth val="0"/>
        </ser>
        <ser>
          <idx val="1"/>
          <order val="1"/>
          <tx>
            <strRef>
              <f>{"Max fit line"}</f>
              <strCache>
                <ptCount val="1"/>
                <pt idx="0">
                  <v>Max fit line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rgbClr val="808080"/>
                </a:solidFill>
                <a:prstDash val="sysDot"/>
              </a:ln>
            </spPr>
            <trendlineType val="linear"/>
            <forward val="200"/>
            <backward val="200"/>
            <dispRSqr val="0"/>
            <dispEq val="0"/>
          </trendline>
          <xVal>
            <numRef>
              <f>Sheet1!$L$16:$L$17</f>
              <numCache>
                <formatCode>0.00</formatCode>
                <ptCount val="2"/>
              </numCache>
            </numRef>
          </xVal>
          <yVal>
            <numRef>
              <f>Sheet1!$M$16:$M$17</f>
              <numCache>
                <formatCode>0.00</formatCode>
                <ptCount val="2"/>
              </numCache>
            </numRef>
          </yVal>
          <smooth val="0"/>
        </ser>
        <ser>
          <idx val="2"/>
          <order val="2"/>
          <tx>
            <v>Experimental Values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3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forward val="100"/>
            <backward val="240"/>
            <dispRSqr val="1"/>
            <dispEq val="1"/>
            <trendlineLbl>
              <layout>
                <manualLayout>
                  <wMode val="factor"/>
                  <hMode val="factor"/>
                  <x val="-0.1482418880906819"/>
                  <y val="0.002102231821454257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errBars>
            <errDir val="y"/>
            <errBarType val="both"/>
            <errValType val="fixedVal"/>
            <noEndCap val="0"/>
            <val val="0.002"/>
            <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spPr>
          </errBars>
          <xVal>
            <numRef>
              <f>Sheet1!$D$16:$D$20</f>
              <numCache>
                <formatCode>0</formatCode>
                <ptCount val="5"/>
                <pt idx="0">
                  <v>240</v>
                </pt>
                <pt idx="1">
                  <v>300</v>
                </pt>
                <pt idx="2">
                  <v>360</v>
                </pt>
                <pt idx="3">
                  <v>420</v>
                </pt>
                <pt idx="4">
                  <v>480</v>
                </pt>
              </numCache>
            </numRef>
          </xVal>
          <yVal>
            <numRef>
              <f>Sheet1!$H$16:$H$20</f>
              <numCache>
                <formatCode>0.000</formatCode>
                <ptCount val="5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887976456"/>
        <axId val="887978504"/>
      </scatterChart>
      <valAx>
        <axId val="887976456"/>
        <scaling>
          <orientation val="minMax"/>
          <max val="55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7978504"/>
        <crosses val="autoZero"/>
        <crossBetween val="midCat"/>
      </valAx>
      <valAx>
        <axId val="887978504"/>
        <scaling>
          <orientation val="minMax"/>
          <max val="0.06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mass gain of nickel cathode (g)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63921440972222"/>
              <y val="0.219139754305977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797645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Experimental Mass Deposited and Theoretical Mass Deposited over Time on a Nickel Cathode in Electrolysis Reaction Between Copper and Nickel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{"Max fit line"}</f>
              <strCache>
                <ptCount val="1"/>
                <pt idx="0">
                  <v>Max fit line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rgbClr val="757171"/>
                </a:solidFill>
                <a:prstDash val="sysDot"/>
              </a:ln>
            </spPr>
            <trendlineType val="linear"/>
            <forward val="200"/>
            <backward val="200"/>
            <dispRSqr val="0"/>
            <dispEq val="0"/>
          </trendline>
          <xVal>
            <numRef>
              <f>Sheet1!$L$16:$L$17</f>
              <numCache>
                <formatCode>0.00</formatCode>
                <ptCount val="2"/>
              </numCache>
            </numRef>
          </xVal>
          <yVal>
            <numRef>
              <f>Sheet1!$M$16:$M$17</f>
              <numCache>
                <formatCode>0.00</formatCode>
                <ptCount val="2"/>
              </numCache>
            </numRef>
          </yVal>
          <smooth val="0"/>
        </ser>
        <ser>
          <idx val="1"/>
          <order val="1"/>
          <tx>
            <strRef>
              <f>{"Min fit line"}</f>
              <strCache>
                <ptCount val="1"/>
                <pt idx="0">
                  <v>Min fit line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rgbClr val="AEAAAA"/>
                </a:solidFill>
                <a:prstDash val="sysDot"/>
              </a:ln>
            </spPr>
            <trendlineType val="linear"/>
            <forward val="100"/>
            <backward val="240"/>
            <dispRSqr val="0"/>
            <dispEq val="0"/>
          </trendline>
          <xVal>
            <numRef>
              <f>Sheet1!$J$16:$J$17</f>
              <numCache>
                <formatCode>0.00</formatCode>
                <ptCount val="2"/>
              </numCache>
            </numRef>
          </xVal>
          <yVal>
            <numRef>
              <f>Sheet1!$K$16:$K$17</f>
              <numCache>
                <formatCode>0.00</formatCode>
                <ptCount val="2"/>
              </numCache>
            </numRef>
          </yVal>
          <smooth val="0"/>
        </ser>
        <ser>
          <idx val="2"/>
          <order val="2"/>
          <tx>
            <v>Experimental Values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3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forward val="100"/>
            <backward val="240"/>
            <dispRSqr val="0"/>
            <dispEq val="0"/>
          </trendline>
          <errBars>
            <errDir val="y"/>
            <errBarType val="both"/>
            <errValType val="fixedVal"/>
            <noEndCap val="0"/>
            <val val="0.002"/>
            <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spPr>
          </errBars>
          <xVal>
            <numRef>
              <f>Sheet1!$D$16:$D$20</f>
              <numCache>
                <formatCode>0</formatCode>
                <ptCount val="5"/>
                <pt idx="0">
                  <v>240</v>
                </pt>
                <pt idx="1">
                  <v>300</v>
                </pt>
                <pt idx="2">
                  <v>360</v>
                </pt>
                <pt idx="3">
                  <v>420</v>
                </pt>
                <pt idx="4">
                  <v>480</v>
                </pt>
              </numCache>
            </numRef>
          </xVal>
          <yVal>
            <numRef>
              <f>Sheet1!$H$16:$H$20</f>
              <numCache>
                <formatCode>0.000</formatCode>
                <ptCount val="5"/>
              </numCache>
            </numRef>
          </yVal>
          <smooth val="0"/>
        </ser>
        <ser>
          <idx val="3"/>
          <order val="3"/>
          <tx>
            <strRef>
              <f>{"Theoretical Values"}</f>
              <strCache>
                <ptCount val="1"/>
                <pt idx="0">
                  <v>Theoretical Values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4"/>
                </a:solidFill>
                <a:prstDash val="sysDot"/>
              </a:ln>
            </spPr>
            <trendlineType val="linear"/>
            <backward val="230"/>
            <dispRSqr val="0"/>
            <dispEq val="0"/>
          </trendline>
          <xVal>
            <numRef>
              <f>Sheet1!$D$25:$D$29</f>
              <numCache>
                <formatCode>0.0</formatCode>
                <ptCount val="5"/>
                <pt idx="0">
                  <v>240</v>
                </pt>
                <pt idx="1">
                  <v>300</v>
                </pt>
                <pt idx="2">
                  <v>360</v>
                </pt>
                <pt idx="3">
                  <v>420</v>
                </pt>
                <pt idx="4">
                  <v>480</v>
                </pt>
              </numCache>
            </numRef>
          </xVal>
          <yVal>
            <numRef>
              <f>Sheet1!$E$25:$E$29</f>
              <numCache>
                <formatCode>0.000</formatCode>
                <ptCount val="5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887976456"/>
        <axId val="887978504"/>
      </scatterChart>
      <valAx>
        <axId val="887976456"/>
        <scaling>
          <orientation val="minMax"/>
          <max val="55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7978504"/>
        <crosses val="autoZero"/>
        <crossBetween val="midCat"/>
      </valAx>
      <valAx>
        <axId val="887978504"/>
        <scaling>
          <orientation val="minMax"/>
          <max val="0.08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gain of nickel cathode (g)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254703463050684"/>
              <y val="0.240023018052384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797645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663575</colOff>
      <row>12</row>
      <rowOff>596900</rowOff>
    </from>
    <to>
      <col>17</col>
      <colOff>358775</colOff>
      <row>28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17</col>
      <colOff>482600</colOff>
      <row>12</row>
      <rowOff>542925</rowOff>
    </from>
    <to>
      <col>24</col>
      <colOff>409575</colOff>
      <row>28</row>
      <rowOff>63500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30"/>
  <sheetViews>
    <sheetView tabSelected="1" workbookViewId="0">
      <selection activeCell="L9" sqref="L9"/>
    </sheetView>
  </sheetViews>
  <sheetFormatPr baseColWidth="10" defaultColWidth="8.83203125" defaultRowHeight="15"/>
  <cols>
    <col width="10.83203125" customWidth="1" style="45" min="1" max="1"/>
    <col width="7.1640625" customWidth="1" style="45" min="2" max="2"/>
    <col width="8.83203125" customWidth="1" style="45" min="3" max="3"/>
    <col width="11.33203125" customWidth="1" style="45" min="4" max="4"/>
    <col width="12.1640625" customWidth="1" style="45" min="5" max="5"/>
    <col width="11.6640625" customWidth="1" style="45" min="6" max="6"/>
    <col width="12.5" customWidth="1" style="45" min="7" max="7"/>
    <col width="13.33203125" customWidth="1" style="45" min="8" max="8"/>
    <col width="10.6640625" customWidth="1" style="45" min="9" max="9"/>
    <col width="16" customWidth="1" style="45" min="14" max="14"/>
    <col width="41.33203125" customWidth="1" style="45" min="15" max="15"/>
    <col width="12.33203125" customWidth="1" style="45" min="17" max="17"/>
    <col width="10.6640625" customWidth="1" style="45" min="18" max="18"/>
    <col width="15.83203125" customWidth="1" style="45" min="22" max="22"/>
  </cols>
  <sheetData>
    <row r="1">
      <c r="B1" s="30" t="inlineStr">
        <is>
          <t>Table 1: Quantitative Data of mass of copper deposited at cathode over 5 different time intervals during copper electrolysis over a constant current</t>
        </is>
      </c>
      <c r="C1" s="65" t="n"/>
      <c r="D1" s="65" t="n"/>
      <c r="E1" s="65" t="n"/>
      <c r="F1" s="65" t="n"/>
      <c r="G1" s="65" t="n"/>
      <c r="H1" s="65" t="n"/>
      <c r="I1" s="66" t="n"/>
    </row>
    <row r="2">
      <c r="B2" s="67" t="n"/>
      <c r="C2" s="68" t="n"/>
      <c r="D2" s="68" t="n"/>
      <c r="E2" s="68" t="n"/>
      <c r="F2" s="68" t="n"/>
      <c r="G2" s="68" t="n"/>
      <c r="H2" s="68" t="n"/>
      <c r="I2" s="69" t="n"/>
    </row>
    <row r="3" ht="15" customHeight="1" s="45">
      <c r="B3" s="30" t="inlineStr">
        <is>
          <t>Time t (s) ±1s</t>
        </is>
      </c>
      <c r="C3" s="70" t="inlineStr">
        <is>
          <t>Current (A) ±0.05A</t>
        </is>
      </c>
      <c r="D3" s="35" t="inlineStr">
        <is>
          <t>Mass of nickel strip (g) ±0.001g</t>
        </is>
      </c>
      <c r="E3" s="71" t="n"/>
      <c r="F3" s="71" t="n"/>
      <c r="G3" s="71" t="n"/>
      <c r="H3" s="71" t="n"/>
      <c r="I3" s="72" t="n"/>
    </row>
    <row r="4" ht="24" customHeight="1" s="45">
      <c r="B4" s="73" t="n"/>
      <c r="C4" s="73" t="n"/>
      <c r="D4" s="37" t="inlineStr">
        <is>
          <t>Trial 1</t>
        </is>
      </c>
      <c r="E4" s="72" t="n"/>
      <c r="F4" s="36" t="inlineStr">
        <is>
          <t>Trial 2</t>
        </is>
      </c>
      <c r="G4" s="72" t="n"/>
      <c r="H4" s="36" t="inlineStr">
        <is>
          <t>Trial 3</t>
        </is>
      </c>
      <c r="I4" s="72" t="n"/>
      <c r="K4" s="54" t="inlineStr">
        <is>
          <t>Table : Linear Regression Analysis of mass of copper deposited at cathode</t>
        </is>
      </c>
      <c r="L4" s="74" t="n"/>
      <c r="M4" s="74" t="n"/>
      <c r="N4" s="74" t="n"/>
      <c r="O4" s="75" t="n"/>
      <c r="T4" s="43" t="n"/>
      <c r="U4" s="43" t="n"/>
      <c r="V4" s="43" t="n"/>
      <c r="W4" s="43" t="n"/>
      <c r="X4" s="43" t="n"/>
      <c r="Y4" s="43" t="n"/>
    </row>
    <row r="5" ht="21" customHeight="1" s="45">
      <c r="B5" s="76" t="n"/>
      <c r="C5" s="76" t="n"/>
      <c r="D5" s="5" t="inlineStr">
        <is>
          <t>Initial</t>
        </is>
      </c>
      <c r="E5" s="1" t="inlineStr">
        <is>
          <t>Final</t>
        </is>
      </c>
      <c r="F5" s="1" t="inlineStr">
        <is>
          <t>Initial</t>
        </is>
      </c>
      <c r="G5" s="1" t="inlineStr">
        <is>
          <t>Final</t>
        </is>
      </c>
      <c r="H5" s="1" t="inlineStr">
        <is>
          <t>Initial</t>
        </is>
      </c>
      <c r="I5" s="1" t="inlineStr">
        <is>
          <t>Final</t>
        </is>
      </c>
      <c r="K5" s="55" t="n"/>
      <c r="L5" s="77" t="inlineStr">
        <is>
          <t>m (slope)</t>
        </is>
      </c>
      <c r="M5" s="78" t="inlineStr">
        <is>
          <t>b (constant)</t>
        </is>
      </c>
      <c r="N5" s="77" t="inlineStr">
        <is>
          <t>Errors  δ</t>
        </is>
      </c>
      <c r="O5" s="75" t="n"/>
      <c r="T5" s="44" t="n"/>
      <c r="U5" s="44" t="n"/>
    </row>
    <row r="6">
      <c r="B6" s="22" t="n">
        <v>240</v>
      </c>
      <c r="C6" s="18" t="n">
        <v>0.5</v>
      </c>
      <c r="D6" s="79" t="n">
        <v>1.051</v>
      </c>
      <c r="E6" s="80" t="n">
        <v>1.065</v>
      </c>
      <c r="F6" s="80" t="n">
        <v>1.067</v>
      </c>
      <c r="G6" s="80" t="n">
        <v>1.087</v>
      </c>
      <c r="H6" s="80" t="n">
        <v>1.061</v>
      </c>
      <c r="I6" s="80" t="n">
        <v>1.082</v>
      </c>
      <c r="K6" s="56" t="n"/>
      <c r="L6" s="81" t="n"/>
      <c r="M6" s="81" t="n"/>
      <c r="N6" s="2" t="inlineStr">
        <is>
          <t>m</t>
        </is>
      </c>
      <c r="O6" s="2" t="inlineStr">
        <is>
          <t>b</t>
        </is>
      </c>
      <c r="T6" s="46" t="n"/>
      <c r="U6" s="46" t="n"/>
    </row>
    <row r="7">
      <c r="B7" s="22" t="n">
        <v>300</v>
      </c>
      <c r="C7" s="18" t="n">
        <v>0.5</v>
      </c>
      <c r="D7" s="82" t="n">
        <v>1.059</v>
      </c>
      <c r="E7" s="83" t="n">
        <v>1.081</v>
      </c>
      <c r="F7" s="83" t="n">
        <v>1.043</v>
      </c>
      <c r="G7" s="83" t="n">
        <v>1.058</v>
      </c>
      <c r="H7" s="83" t="n">
        <v>1.049</v>
      </c>
      <c r="I7" s="83" t="n">
        <v>1.081</v>
      </c>
      <c r="K7" s="57" t="n"/>
      <c r="L7" s="84" t="n">
        <v>0.0001105555555555551</v>
      </c>
      <c r="M7" s="51" t="n">
        <v>-0.008799999999999837</v>
      </c>
      <c r="N7" s="85" t="n">
        <v>6.871842709362812e-06</v>
      </c>
      <c r="O7" s="86" t="n">
        <v>0.002541653005427783</v>
      </c>
      <c r="T7" s="87" t="n"/>
      <c r="U7" s="48" t="n"/>
    </row>
    <row r="8">
      <c r="B8" s="22" t="n">
        <v>360</v>
      </c>
      <c r="C8" s="18" t="n">
        <v>0.5</v>
      </c>
      <c r="D8" s="79" t="n">
        <v>1.059</v>
      </c>
      <c r="E8" s="80" t="n">
        <v>1.094</v>
      </c>
      <c r="F8" s="80" t="n">
        <v>1.043</v>
      </c>
      <c r="G8" s="80" t="n">
        <v>1.081</v>
      </c>
      <c r="H8" s="80" t="n">
        <v>1.06</v>
      </c>
      <c r="I8" s="80" t="n">
        <v>1.084</v>
      </c>
      <c r="K8" s="54" t="inlineStr">
        <is>
          <t>Equation</t>
        </is>
      </c>
      <c r="L8" s="88" t="inlineStr">
        <is>
          <t>0.00011055555555555512x + -0.008799999999999837</t>
        </is>
      </c>
      <c r="M8" s="74" t="n"/>
      <c r="N8" s="74" t="n"/>
      <c r="O8" s="75" t="n"/>
      <c r="T8" s="49" t="n"/>
      <c r="U8" s="49" t="n"/>
      <c r="V8" s="49" t="n"/>
      <c r="W8" s="49" t="n"/>
      <c r="X8" s="49" t="n"/>
      <c r="Y8" s="49" t="n"/>
    </row>
    <row r="9">
      <c r="B9" s="22" t="n">
        <v>420</v>
      </c>
      <c r="C9" s="18" t="n">
        <v>0.5</v>
      </c>
      <c r="D9" s="79" t="n">
        <v>1.029</v>
      </c>
      <c r="E9" s="80" t="n">
        <v>1.081</v>
      </c>
      <c r="F9" s="80" t="n">
        <v>1.074</v>
      </c>
      <c r="G9" s="80" t="n">
        <v>1.102</v>
      </c>
      <c r="H9" s="80" t="n">
        <v>1.066</v>
      </c>
      <c r="I9" s="80" t="n">
        <v>1.096</v>
      </c>
    </row>
    <row r="10">
      <c r="B10" s="22" t="n">
        <v>480</v>
      </c>
      <c r="C10" s="18" t="n">
        <v>0.5</v>
      </c>
      <c r="D10" s="79" t="n">
        <v>1.041</v>
      </c>
      <c r="E10" s="80" t="n">
        <v>1.093</v>
      </c>
      <c r="F10" s="80" t="n">
        <v>1.048</v>
      </c>
      <c r="G10" s="80" t="n">
        <v>1.092</v>
      </c>
      <c r="H10" s="80" t="n">
        <v>1.052</v>
      </c>
      <c r="I10" s="80" t="n">
        <v>1.09</v>
      </c>
    </row>
    <row r="11">
      <c r="P11" s="12" t="n"/>
      <c r="Q11" s="12" t="n"/>
      <c r="R11" s="12" t="n"/>
      <c r="S11" s="12" t="n"/>
      <c r="T11" s="12" t="n"/>
      <c r="V11" s="89" t="n"/>
    </row>
    <row r="13" ht="48.75" customHeight="1" s="45">
      <c r="D13" s="30" t="inlineStr">
        <is>
          <t>Table 2: Processed data of copper deposited at cathode over 5 different time intervals during copper electrolysis over a constant current</t>
        </is>
      </c>
      <c r="E13" s="71" t="n"/>
      <c r="F13" s="71" t="n"/>
      <c r="G13" s="71" t="n"/>
      <c r="H13" s="72" t="n"/>
      <c r="I13" s="6" t="n"/>
      <c r="J13" s="7" t="n"/>
    </row>
    <row r="14" ht="24.75" customHeight="1" s="45">
      <c r="D14" s="27" t="inlineStr">
        <is>
          <t>Time t (s) ±1s</t>
        </is>
      </c>
      <c r="E14" s="28" t="inlineStr">
        <is>
          <t>Mass plated m (g) ±0.002g</t>
        </is>
      </c>
      <c r="F14" s="68" t="n"/>
      <c r="G14" s="69" t="n"/>
      <c r="H14" s="25" t="n"/>
    </row>
    <row r="15" ht="54" customHeight="1" s="45">
      <c r="D15" s="76" t="n"/>
      <c r="E15" s="36" t="inlineStr">
        <is>
          <t>Trial 1</t>
        </is>
      </c>
      <c r="F15" s="36" t="inlineStr">
        <is>
          <t>Trial 2</t>
        </is>
      </c>
      <c r="G15" s="36" t="inlineStr">
        <is>
          <t>Trial 3</t>
        </is>
      </c>
      <c r="H15" s="24" t="inlineStr">
        <is>
          <t>Average Mass plated (g) ±0.06g</t>
        </is>
      </c>
      <c r="J15" s="12" t="n"/>
      <c r="K15" s="12" t="n"/>
      <c r="L15" s="12" t="n"/>
      <c r="M15" s="12" t="n"/>
    </row>
    <row r="16">
      <c r="D16" s="22" t="n">
        <v>240</v>
      </c>
      <c r="E16" s="90" t="n">
        <v>0.01400000000000001</v>
      </c>
      <c r="F16" s="90" t="n">
        <v>0.02000000000000002</v>
      </c>
      <c r="G16" s="90" t="n">
        <v>0.02100000000000013</v>
      </c>
      <c r="H16" s="90" t="n">
        <v>0.01833333333333339</v>
      </c>
      <c r="J16" s="8" t="n"/>
      <c r="K16" s="8" t="n"/>
      <c r="L16" s="8" t="n"/>
      <c r="M16" s="8" t="n"/>
    </row>
    <row r="17">
      <c r="D17" s="22" t="n">
        <v>300</v>
      </c>
      <c r="E17" s="90" t="n">
        <v>0.02200000000000002</v>
      </c>
      <c r="F17" s="90" t="n">
        <v>0.01500000000000012</v>
      </c>
      <c r="G17" s="90" t="n">
        <v>0.03200000000000003</v>
      </c>
      <c r="H17" s="90" t="n">
        <v>0.02300000000000006</v>
      </c>
      <c r="J17" s="8" t="n"/>
      <c r="K17" s="8" t="n"/>
      <c r="L17" s="8" t="n"/>
      <c r="M17" s="8" t="n"/>
    </row>
    <row r="18">
      <c r="D18" s="22" t="n">
        <v>360</v>
      </c>
      <c r="E18" s="90" t="n">
        <v>0.03500000000000014</v>
      </c>
      <c r="F18" s="90" t="n">
        <v>0.03800000000000003</v>
      </c>
      <c r="G18" s="90" t="n">
        <v>0.02400000000000002</v>
      </c>
      <c r="H18" s="90" t="n">
        <v>0.0323333333333334</v>
      </c>
      <c r="J18" s="8" t="n"/>
      <c r="K18" s="8" t="n"/>
      <c r="L18" s="8" t="n"/>
      <c r="M18" s="8" t="n"/>
    </row>
    <row r="19">
      <c r="D19" s="22" t="n">
        <v>420</v>
      </c>
      <c r="E19" s="90" t="n">
        <v>0.05200000000000005</v>
      </c>
      <c r="F19" s="90" t="n">
        <v>0.02800000000000002</v>
      </c>
      <c r="G19" s="90" t="n">
        <v>0.03000000000000003</v>
      </c>
      <c r="H19" s="90" t="n">
        <v>0.0366666666666667</v>
      </c>
      <c r="J19" s="8" t="n"/>
      <c r="K19" s="8" t="n"/>
      <c r="L19" s="8" t="n"/>
      <c r="M19" s="8" t="n"/>
    </row>
    <row r="20">
      <c r="D20" s="22" t="n">
        <v>480</v>
      </c>
      <c r="E20" s="90" t="n">
        <v>0.05200000000000005</v>
      </c>
      <c r="F20" s="90" t="n">
        <v>0.04400000000000004</v>
      </c>
      <c r="G20" s="90" t="n">
        <v>0.03800000000000003</v>
      </c>
      <c r="H20" s="90" t="n">
        <v>0.04466666666666671</v>
      </c>
      <c r="J20" s="8" t="n"/>
      <c r="K20" s="8" t="n"/>
      <c r="L20" s="8" t="n"/>
      <c r="M20" s="8" t="n"/>
    </row>
    <row r="23">
      <c r="C23" s="36" t="inlineStr">
        <is>
          <t>theoretical values</t>
        </is>
      </c>
      <c r="D23" s="71" t="n"/>
      <c r="E23" s="71" t="n"/>
      <c r="F23" s="71" t="n"/>
      <c r="G23" s="71" t="n"/>
      <c r="H23" s="71" t="n"/>
      <c r="I23" s="72" t="n"/>
    </row>
    <row r="24" ht="86.25" customHeight="1" s="45">
      <c r="C24" s="19" t="inlineStr">
        <is>
          <t>Current (A) ±0.05A</t>
        </is>
      </c>
      <c r="D24" s="19" t="inlineStr">
        <is>
          <t>Time t (s) ±1.0s</t>
        </is>
      </c>
      <c r="E24" s="19" t="inlineStr">
        <is>
          <t xml:space="preserve">Theoretical Mass plated m (g) </t>
        </is>
      </c>
      <c r="F24" s="19" t="inlineStr">
        <is>
          <t xml:space="preserve">Uncertaintly of Theoretical Mass plated m (g) </t>
        </is>
      </c>
      <c r="G24" s="20" t="inlineStr">
        <is>
          <t>Average Experimental Mass plated (g) ±0.02g</t>
        </is>
      </c>
      <c r="H24" s="19" t="inlineStr">
        <is>
          <t>Percentage Uncertainty of Mass plated (%)</t>
        </is>
      </c>
      <c r="I24" s="21" t="inlineStr">
        <is>
          <t>Percentage error (%)</t>
        </is>
      </c>
    </row>
    <row r="25">
      <c r="C25" s="18" t="n">
        <v>0.5</v>
      </c>
      <c r="D25" s="91" t="n">
        <v>240</v>
      </c>
      <c r="E25" s="80" t="n">
        <v>0.03951896106900396</v>
      </c>
      <c r="F25" s="80" t="n">
        <v>0.003951896106900396</v>
      </c>
      <c r="G25" s="92" t="n">
        <v>0.01833333333333339</v>
      </c>
      <c r="H25" s="3" t="n">
        <v>46.39123306233076</v>
      </c>
      <c r="I25" s="93" t="n">
        <v>-53.60876693766924</v>
      </c>
    </row>
    <row r="26">
      <c r="C26" s="18" t="n">
        <v>0.5</v>
      </c>
      <c r="D26" s="91" t="n">
        <v>300</v>
      </c>
      <c r="E26" s="80" t="n">
        <v>0.04939870133625495</v>
      </c>
      <c r="F26" s="80" t="n">
        <v>0.004939870133625495</v>
      </c>
      <c r="G26" s="92" t="n">
        <v>0.02300000000000006</v>
      </c>
      <c r="H26" s="3" t="n">
        <v>46.55992845528467</v>
      </c>
      <c r="I26" s="93" t="n">
        <v>-53.44007154471533</v>
      </c>
    </row>
    <row r="27">
      <c r="C27" s="18" t="n">
        <v>0.5</v>
      </c>
      <c r="D27" s="91" t="n">
        <v>360</v>
      </c>
      <c r="E27" s="80" t="n">
        <v>0.05927844160350594</v>
      </c>
      <c r="F27" s="80" t="n">
        <v>0.005927844160350594</v>
      </c>
      <c r="G27" s="92" t="n">
        <v>0.0323333333333334</v>
      </c>
      <c r="H27" s="3" t="n">
        <v>54.54484372177066</v>
      </c>
      <c r="I27" s="93" t="n">
        <v>-45.45515627822933</v>
      </c>
    </row>
    <row r="28">
      <c r="C28" s="18" t="n">
        <v>0.5</v>
      </c>
      <c r="D28" s="91" t="n">
        <v>420</v>
      </c>
      <c r="E28" s="80" t="n">
        <v>0.06915818187075694</v>
      </c>
      <c r="F28" s="80" t="n">
        <v>0.006915818187075693</v>
      </c>
      <c r="G28" s="92" t="n">
        <v>0.0366666666666667</v>
      </c>
      <c r="H28" s="3" t="n">
        <v>53.01855207123505</v>
      </c>
      <c r="I28" s="93" t="n">
        <v>-46.98144792876496</v>
      </c>
    </row>
    <row r="29">
      <c r="C29" s="18" t="n">
        <v>0.5</v>
      </c>
      <c r="D29" s="91" t="n">
        <v>480</v>
      </c>
      <c r="E29" s="80" t="n">
        <v>0.07903792213800792</v>
      </c>
      <c r="F29" s="80" t="n">
        <v>0.007903792213800791</v>
      </c>
      <c r="G29" s="92" t="n">
        <v>0.04466666666666671</v>
      </c>
      <c r="H29" s="3" t="n">
        <v>56.51295663956645</v>
      </c>
      <c r="I29" s="93" t="n">
        <v>-43.48704336043355</v>
      </c>
    </row>
    <row r="30">
      <c r="E30" s="8" t="n"/>
      <c r="H30" s="12" t="n"/>
      <c r="I30" s="12" t="n"/>
    </row>
  </sheetData>
  <mergeCells count="16">
    <mergeCell ref="F4:G4"/>
    <mergeCell ref="C23:I23"/>
    <mergeCell ref="L8:O8"/>
    <mergeCell ref="E14:G14"/>
    <mergeCell ref="K4:O4"/>
    <mergeCell ref="C3:C5"/>
    <mergeCell ref="B1:I2"/>
    <mergeCell ref="D13:H13"/>
    <mergeCell ref="M5:M6"/>
    <mergeCell ref="D4:E4"/>
    <mergeCell ref="H4:I4"/>
    <mergeCell ref="D3:I3"/>
    <mergeCell ref="N5:O5"/>
    <mergeCell ref="B3:B5"/>
    <mergeCell ref="D14:D15"/>
    <mergeCell ref="L5:L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2026-01-27T23:48:08Z</dcterms:created>
  <dcterms:modified xsi:type="dcterms:W3CDTF">2026-06-18T00:51:19Z</dcterms:modified>
  <cp:lastModifiedBy>Sathishkumar, Shrinidhi</cp:lastModifiedBy>
</cp:coreProperties>
</file>